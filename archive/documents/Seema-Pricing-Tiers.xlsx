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Comparison" sheetId="1" state="visible" r:id="rId3"/>
    <sheet name="Revenue Projections" sheetId="2" state="visible" r:id="rId4"/>
    <sheet name="Fined Firm Off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<sst xmlns="http://schemas.openxmlformats.org/spreadsheetml/2006/main" count="186" uniqueCount="126">
  <si>
    <t xml:space="preserve">SEEMA — Pricing Tiers</t>
  </si>
  <si>
    <t xml:space="preserve">AI-Powered Compliance Operating System for SRA-Regulated Law Firms</t>
  </si>
  <si>
    <t xml:space="preserve">Feature</t>
  </si>
  <si>
    <t xml:space="preserve">Essentials</t>
  </si>
  <si>
    <t xml:space="preserve">Professional</t>
  </si>
  <si>
    <t xml:space="preserve">Notes</t>
  </si>
  <si>
    <t xml:space="preserve">Monthly Price (per firm)</t>
  </si>
  <si>
    <t xml:space="preserve">£299/mo</t>
  </si>
  <si>
    <t xml:space="preserve">£599/mo</t>
  </si>
  <si>
    <t xml:space="preserve">Annual discount: 2 months free</t>
  </si>
  <si>
    <t xml:space="preserve">Annual Price (per firm)</t>
  </si>
  <si>
    <t xml:space="preserve">£2,990/yr</t>
  </si>
  <si>
    <t xml:space="preserve">£5,990/yr</t>
  </si>
  <si>
    <t xml:space="preserve">Save £598 / £1,198 respectively</t>
  </si>
  <si>
    <t xml:space="preserve">COMPLIANCE DASHBOARD &amp; MONITORING</t>
  </si>
  <si>
    <t xml:space="preserve">Real-time compliance dashboard</t>
  </si>
  <si>
    <t xml:space="preserve">✓</t>
  </si>
  <si>
    <t xml:space="preserve">Overview of firm-wide compliance health</t>
  </si>
  <si>
    <t xml:space="preserve">Regulatory alerts &amp; SRA updates</t>
  </si>
  <si>
    <t xml:space="preserve">Automatic alerts for new SRA guidance</t>
  </si>
  <si>
    <t xml:space="preserve">Compliance calendar &amp; deadline tracking</t>
  </si>
  <si>
    <t xml:space="preserve">Never miss a filing or review deadline</t>
  </si>
  <si>
    <t xml:space="preserve">Breach log &amp; incident tracking</t>
  </si>
  <si>
    <t xml:space="preserve">Record and track compliance breaches</t>
  </si>
  <si>
    <t xml:space="preserve">Basic compliance reporting</t>
  </si>
  <si>
    <t xml:space="preserve">Standard compliance status reports</t>
  </si>
  <si>
    <t xml:space="preserve">POLICY &amp; TRAINING MANAGEMENT</t>
  </si>
  <si>
    <t xml:space="preserve">Policy document management</t>
  </si>
  <si>
    <t xml:space="preserve">Store and version-control firm policies</t>
  </si>
  <si>
    <t xml:space="preserve">Staff training record tracking</t>
  </si>
  <si>
    <t xml:space="preserve">Track CPD and mandatory training</t>
  </si>
  <si>
    <t xml:space="preserve">Training deadline reminders</t>
  </si>
  <si>
    <t xml:space="preserve">Automated reminders for overdue training</t>
  </si>
  <si>
    <t xml:space="preserve">Policy acknowledgement tracking</t>
  </si>
  <si>
    <t xml:space="preserve">✗</t>
  </si>
  <si>
    <t xml:space="preserve">Track staff policy sign-offs</t>
  </si>
  <si>
    <t xml:space="preserve">CLIENT &amp; MATTER COMPLIANCE</t>
  </si>
  <si>
    <t xml:space="preserve">Client intake &amp; risk screening</t>
  </si>
  <si>
    <t xml:space="preserve">AML/KYC risk assessment at onboarding</t>
  </si>
  <si>
    <t xml:space="preserve">Enhanced due diligence workflows</t>
  </si>
  <si>
    <t xml:space="preserve">EDD for high-risk clients</t>
  </si>
  <si>
    <t xml:space="preserve">Matter-level compliance checklists</t>
  </si>
  <si>
    <t xml:space="preserve">Per-matter regulatory requirements</t>
  </si>
  <si>
    <t xml:space="preserve">Conflict of interest checking</t>
  </si>
  <si>
    <t xml:space="preserve">Automated conflict detection</t>
  </si>
  <si>
    <t xml:space="preserve">Source of funds verification</t>
  </si>
  <si>
    <t xml:space="preserve">SoF/SoW documentation workflows</t>
  </si>
  <si>
    <t xml:space="preserve">SUPERVISION &amp; OVERSIGHT</t>
  </si>
  <si>
    <t xml:space="preserve">Supervision schedule management</t>
  </si>
  <si>
    <t xml:space="preserve">Plan and track staff supervision</t>
  </si>
  <si>
    <t xml:space="preserve">File review scheduling &amp; tracking</t>
  </si>
  <si>
    <t xml:space="preserve">Systematic file review programme</t>
  </si>
  <si>
    <t xml:space="preserve">Competency assessments</t>
  </si>
  <si>
    <t xml:space="preserve">Staff competency tracking</t>
  </si>
  <si>
    <t xml:space="preserve">COLP/COFA oversight tools</t>
  </si>
  <si>
    <t xml:space="preserve">Dedicated compliance officer views</t>
  </si>
  <si>
    <t xml:space="preserve">AI &amp; ADVANCED FEATURES</t>
  </si>
  <si>
    <t xml:space="preserve">AI compliance knowledge engine</t>
  </si>
  <si>
    <t xml:space="preserve">Ask questions, get SRA-specific answers</t>
  </si>
  <si>
    <t xml:space="preserve">Advanced analytics &amp; trends</t>
  </si>
  <si>
    <t xml:space="preserve">Compliance trend analysis over time</t>
  </si>
  <si>
    <t xml:space="preserve">Custom PDF report generation</t>
  </si>
  <si>
    <t xml:space="preserve">Branded compliance reports for SRA</t>
  </si>
  <si>
    <t xml:space="preserve">Evidence &amp; document management</t>
  </si>
  <si>
    <t xml:space="preserve">Full audit trail with evidence storage</t>
  </si>
  <si>
    <t xml:space="preserve">API access for integrations</t>
  </si>
  <si>
    <t xml:space="preserve">Connect with PMS and accounting systems</t>
  </si>
  <si>
    <t xml:space="preserve">SUPPORT</t>
  </si>
  <si>
    <t xml:space="preserve">Email support (24hr response)</t>
  </si>
  <si>
    <t xml:space="preserve">Standard email support</t>
  </si>
  <si>
    <t xml:space="preserve">Priority phone &amp; video support</t>
  </si>
  <si>
    <t xml:space="preserve">Dedicated account manager</t>
  </si>
  <si>
    <t xml:space="preserve">Onboarding &amp; setup assistance</t>
  </si>
  <si>
    <t xml:space="preserve">Basic</t>
  </si>
  <si>
    <t xml:space="preserve">Full</t>
  </si>
  <si>
    <t xml:space="preserve">Professional includes data migration</t>
  </si>
  <si>
    <t xml:space="preserve">Quarterly compliance reviews</t>
  </si>
  <si>
    <t xml:space="preserve">Expert review of your compliance posture</t>
  </si>
  <si>
    <t xml:space="preserve">Fined Firm Recovery Offer: Professional tier at Essentials pricing for 6 months</t>
  </si>
  <si>
    <t xml:space="preserve">SEEMA — Year 1 Revenue Projections</t>
  </si>
  <si>
    <t xml:space="preserve">KEY ASSUMPTIONS</t>
  </si>
  <si>
    <t xml:space="preserve">Essentials Monthly Price</t>
  </si>
  <si>
    <t xml:space="preserve">Professional Monthly Price</t>
  </si>
  <si>
    <t xml:space="preserve">Annual Essentials (10 months)</t>
  </si>
  <si>
    <t xml:space="preserve">Annual Professional (10 months)</t>
  </si>
  <si>
    <t xml:space="preserve">Tier Mix (Essentials %)</t>
  </si>
  <si>
    <t xml:space="preserve">Average Monthly Churn</t>
  </si>
  <si>
    <t xml:space="preserve">Metric</t>
  </si>
  <si>
    <t xml:space="preserve">Q1</t>
  </si>
  <si>
    <t xml:space="preserve">Q2</t>
  </si>
  <si>
    <t xml:space="preserve">Q3</t>
  </si>
  <si>
    <t xml:space="preserve">Q4</t>
  </si>
  <si>
    <t xml:space="preserve">Year 1 Total</t>
  </si>
  <si>
    <t xml:space="preserve">New Firms Acquired</t>
  </si>
  <si>
    <t xml:space="preserve">  — Essentials Tier</t>
  </si>
  <si>
    <t xml:space="preserve">  — Professional Tier</t>
  </si>
  <si>
    <t xml:space="preserve">Cumulative Active Firms</t>
  </si>
  <si>
    <t xml:space="preserve">Blended Avg Monthly/Firm</t>
  </si>
  <si>
    <t xml:space="preserve">MRR (End of Quarter)</t>
  </si>
  <si>
    <t xml:space="preserve">Quarterly Revenue</t>
  </si>
  <si>
    <t xml:space="preserve">Annual Run Rate (End of Q)</t>
  </si>
  <si>
    <t xml:space="preserve">SEEMA — Compliance Recovery Programme</t>
  </si>
  <si>
    <t xml:space="preserve">Special Pricing for SRA-Fined Firms — Demonstrate Corrective Action</t>
  </si>
  <si>
    <t xml:space="preserve">Standard Professional</t>
  </si>
  <si>
    <t xml:space="preserve">Recovery Offer (6 mo)</t>
  </si>
  <si>
    <t xml:space="preserve">You Save</t>
  </si>
  <si>
    <t xml:space="preserve">After 6 Months</t>
  </si>
  <si>
    <t xml:space="preserve">Monthly Price</t>
  </si>
  <si>
    <t xml:space="preserve">6-Month Total Cost</t>
  </si>
  <si>
    <t xml:space="preserve">—</t>
  </si>
  <si>
    <t xml:space="preserve">Features Included</t>
  </si>
  <si>
    <t xml:space="preserve">All Professional</t>
  </si>
  <si>
    <t xml:space="preserve">Onboarding</t>
  </si>
  <si>
    <t xml:space="preserve">Standard</t>
  </si>
  <si>
    <t xml:space="preserve">Priority Setup</t>
  </si>
  <si>
    <t xml:space="preserve">SRA Compliance Report</t>
  </si>
  <si>
    <t xml:space="preserve">Included</t>
  </si>
  <si>
    <t xml:space="preserve">Included + Branded</t>
  </si>
  <si>
    <t xml:space="preserve">Dedicated Account Manager</t>
  </si>
  <si>
    <t xml:space="preserve">Yes</t>
  </si>
  <si>
    <t xml:space="preserve">WHY THIS MATTERS FOR FINED FIRMS</t>
  </si>
  <si>
    <t xml:space="preserve">  Demonstrate to SRA you've invested in systematic compliance improvements</t>
  </si>
  <si>
    <t xml:space="preserve">  Full audit trail proves corrective action has been taken</t>
  </si>
  <si>
    <t xml:space="preserve">  AI-powered monitoring catches issues before they become breaches</t>
  </si>
  <si>
    <t xml:space="preserve">  Branded compliance reports ready for SRA submissions</t>
  </si>
  <si>
    <t xml:space="preserve">  Reduces risk of repeat fines (average repeat fine is 3x the original)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</si>
</sst>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"/>
    <numFmt numFmtId="166" formatCode="0%"/>
    <numFmt numFmtId="167" formatCode="\£#,##0&quot;/mo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66534"/>
      <name val="Arial"/>
      <family val="0"/>
      <charset val="1"/>
    </font>
    <font>
      <sz val="11"/>
      <color rgb="FFDC2626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8"/>
      <color rgb="FF059669"/>
      <name val="Arial"/>
      <family val="0"/>
      <charset val="1"/>
    </font>
    <font>
      <b val="true"/>
      <sz val="11"/>
      <color rgb="FF05966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334155"/>
      </patternFill>
    </fill>
    <fill>
      <patternFill patternType="solid">
        <fgColor rgb="FF2563EB"/>
        <bgColor rgb="FF0066CC"/>
      </patternFill>
    </fill>
    <fill>
      <patternFill patternType="solid">
        <fgColor rgb="FFF5F6FA"/>
        <bgColor rgb="FFFFFFFF"/>
      </patternFill>
    </fill>
    <fill>
      <patternFill patternType="solid">
        <fgColor rgb="FFFFFFFF"/>
        <bgColor rgb="FFF5F6FA"/>
      </patternFill>
    </fill>
    <fill>
      <patternFill patternType="solid">
        <fgColor rgb="FF334155"/>
        <bgColor rgb="FF1B2A4A"/>
      </patternFill>
    </fill>
    <fill>
      <patternFill patternType="solid">
        <fgColor rgb="FFDCFCE7"/>
        <bgColor rgb="FFF5F6FA"/>
      </patternFill>
    </fill>
    <fill>
      <patternFill patternType="solid">
        <fgColor rgb="FFFEF3C7"/>
        <bgColor rgb="FFF5F6FA"/>
      </patternFill>
    </fill>
    <fill>
      <patternFill patternType="solid">
        <fgColor rgb="FF05966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5F6FA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66"/>
      <rgbColor rgb="FF94A3B8"/>
      <rgbColor rgb="FF1B2A4A"/>
      <rgbColor rgb="FF339966"/>
      <rgbColor rgb="FF003300"/>
      <rgbColor rgb="FF333300"/>
      <rgbColor rgb="FF92400E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28"/>
  </cols>
  <sheetData>
    <row r="1" customFormat="false" ht="19.7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2.05" hidden="false" customHeight="false" outlineLevel="0" collapsed="false">
      <c r="A5" s="4" t="s">
        <v>6</v>
      </c>
      <c r="B5" s="5" t="s">
        <v>7</v>
      </c>
      <c r="C5" s="5" t="s">
        <v>8</v>
      </c>
      <c r="D5" s="6" t="s">
        <v>9</v>
      </c>
    </row>
    <row r="6" customFormat="false" ht="17.35" hidden="false" customHeight="false" outlineLevel="0" collapsed="false">
      <c r="A6" s="7" t="s">
        <v>10</v>
      </c>
      <c r="B6" s="8" t="s">
        <v>11</v>
      </c>
      <c r="C6" s="8" t="s">
        <v>12</v>
      </c>
      <c r="D6" s="9" t="s">
        <v>13</v>
      </c>
    </row>
    <row r="8" customFormat="false" ht="15" hidden="false" customHeight="true" outlineLevel="0" collapsed="false">
      <c r="A8" s="10" t="s">
        <v>14</v>
      </c>
      <c r="B8" s="10"/>
      <c r="C8" s="10"/>
      <c r="D8" s="10"/>
    </row>
    <row r="9" customFormat="false" ht="22.35" hidden="false" customHeight="false" outlineLevel="0" collapsed="false">
      <c r="A9" s="11" t="s">
        <v>15</v>
      </c>
      <c r="B9" s="12" t="s">
        <v>16</v>
      </c>
      <c r="C9" s="13" t="s">
        <v>16</v>
      </c>
      <c r="D9" s="6" t="s">
        <v>17</v>
      </c>
    </row>
    <row r="10" customFormat="false" ht="22.35" hidden="false" customHeight="false" outlineLevel="0" collapsed="false">
      <c r="A10" s="14" t="s">
        <v>18</v>
      </c>
      <c r="B10" s="15" t="s">
        <v>16</v>
      </c>
      <c r="C10" s="13" t="s">
        <v>16</v>
      </c>
      <c r="D10" s="9" t="s">
        <v>19</v>
      </c>
    </row>
    <row r="11" customFormat="false" ht="22.35" hidden="false" customHeight="false" outlineLevel="0" collapsed="false">
      <c r="A11" s="11" t="s">
        <v>20</v>
      </c>
      <c r="B11" s="12" t="s">
        <v>16</v>
      </c>
      <c r="C11" s="13" t="s">
        <v>16</v>
      </c>
      <c r="D11" s="6" t="s">
        <v>21</v>
      </c>
    </row>
    <row r="12" customFormat="false" ht="22.35" hidden="false" customHeight="false" outlineLevel="0" collapsed="false">
      <c r="A12" s="14" t="s">
        <v>22</v>
      </c>
      <c r="B12" s="15" t="s">
        <v>16</v>
      </c>
      <c r="C12" s="13" t="s">
        <v>16</v>
      </c>
      <c r="D12" s="9" t="s">
        <v>23</v>
      </c>
    </row>
    <row r="13" customFormat="false" ht="15" hidden="false" customHeight="false" outlineLevel="0" collapsed="false">
      <c r="A13" s="11" t="s">
        <v>24</v>
      </c>
      <c r="B13" s="12" t="s">
        <v>16</v>
      </c>
      <c r="C13" s="13" t="s">
        <v>16</v>
      </c>
      <c r="D13" s="6" t="s">
        <v>25</v>
      </c>
    </row>
    <row r="14" customFormat="false" ht="15" hidden="false" customHeight="true" outlineLevel="0" collapsed="false">
      <c r="A14" s="10" t="s">
        <v>26</v>
      </c>
      <c r="B14" s="10"/>
      <c r="C14" s="10"/>
      <c r="D14" s="10"/>
    </row>
    <row r="15" customFormat="false" ht="22.35" hidden="false" customHeight="false" outlineLevel="0" collapsed="false">
      <c r="A15" s="11" t="s">
        <v>27</v>
      </c>
      <c r="B15" s="12" t="s">
        <v>16</v>
      </c>
      <c r="C15" s="13" t="s">
        <v>16</v>
      </c>
      <c r="D15" s="6" t="s">
        <v>28</v>
      </c>
    </row>
    <row r="16" customFormat="false" ht="15" hidden="false" customHeight="false" outlineLevel="0" collapsed="false">
      <c r="A16" s="14" t="s">
        <v>29</v>
      </c>
      <c r="B16" s="15" t="s">
        <v>16</v>
      </c>
      <c r="C16" s="13" t="s">
        <v>16</v>
      </c>
      <c r="D16" s="9" t="s">
        <v>30</v>
      </c>
    </row>
    <row r="17" customFormat="false" ht="22.35" hidden="false" customHeight="false" outlineLevel="0" collapsed="false">
      <c r="A17" s="11" t="s">
        <v>31</v>
      </c>
      <c r="B17" s="12" t="s">
        <v>16</v>
      </c>
      <c r="C17" s="13" t="s">
        <v>16</v>
      </c>
      <c r="D17" s="6" t="s">
        <v>32</v>
      </c>
    </row>
    <row r="18" customFormat="false" ht="15" hidden="false" customHeight="false" outlineLevel="0" collapsed="false">
      <c r="A18" s="14" t="s">
        <v>33</v>
      </c>
      <c r="B18" s="16" t="s">
        <v>34</v>
      </c>
      <c r="C18" s="13" t="s">
        <v>16</v>
      </c>
      <c r="D18" s="9" t="s">
        <v>35</v>
      </c>
    </row>
    <row r="19" customFormat="false" ht="15" hidden="false" customHeight="true" outlineLevel="0" collapsed="false">
      <c r="A19" s="10" t="s">
        <v>36</v>
      </c>
      <c r="B19" s="10"/>
      <c r="C19" s="10"/>
      <c r="D19" s="10"/>
    </row>
    <row r="20" customFormat="false" ht="22.35" hidden="false" customHeight="false" outlineLevel="0" collapsed="false">
      <c r="A20" s="14" t="s">
        <v>37</v>
      </c>
      <c r="B20" s="16" t="s">
        <v>34</v>
      </c>
      <c r="C20" s="13" t="s">
        <v>16</v>
      </c>
      <c r="D20" s="9" t="s">
        <v>38</v>
      </c>
    </row>
    <row r="21" customFormat="false" ht="15" hidden="false" customHeight="false" outlineLevel="0" collapsed="false">
      <c r="A21" s="11" t="s">
        <v>39</v>
      </c>
      <c r="B21" s="17" t="s">
        <v>34</v>
      </c>
      <c r="C21" s="13" t="s">
        <v>16</v>
      </c>
      <c r="D21" s="6" t="s">
        <v>40</v>
      </c>
    </row>
    <row r="22" customFormat="false" ht="15" hidden="false" customHeight="false" outlineLevel="0" collapsed="false">
      <c r="A22" s="14" t="s">
        <v>41</v>
      </c>
      <c r="B22" s="16" t="s">
        <v>34</v>
      </c>
      <c r="C22" s="13" t="s">
        <v>16</v>
      </c>
      <c r="D22" s="9" t="s">
        <v>42</v>
      </c>
    </row>
    <row r="23" customFormat="false" ht="15" hidden="false" customHeight="false" outlineLevel="0" collapsed="false">
      <c r="A23" s="11" t="s">
        <v>43</v>
      </c>
      <c r="B23" s="17" t="s">
        <v>34</v>
      </c>
      <c r="C23" s="13" t="s">
        <v>16</v>
      </c>
      <c r="D23" s="6" t="s">
        <v>44</v>
      </c>
    </row>
    <row r="24" customFormat="false" ht="15" hidden="false" customHeight="false" outlineLevel="0" collapsed="false">
      <c r="A24" s="14" t="s">
        <v>45</v>
      </c>
      <c r="B24" s="16" t="s">
        <v>34</v>
      </c>
      <c r="C24" s="13" t="s">
        <v>16</v>
      </c>
      <c r="D24" s="9" t="s">
        <v>46</v>
      </c>
    </row>
    <row r="25" customFormat="false" ht="15" hidden="false" customHeight="true" outlineLevel="0" collapsed="false">
      <c r="A25" s="10" t="s">
        <v>47</v>
      </c>
      <c r="B25" s="10"/>
      <c r="C25" s="10"/>
      <c r="D25" s="10"/>
    </row>
    <row r="26" customFormat="false" ht="15" hidden="false" customHeight="false" outlineLevel="0" collapsed="false">
      <c r="A26" s="14" t="s">
        <v>48</v>
      </c>
      <c r="B26" s="16" t="s">
        <v>34</v>
      </c>
      <c r="C26" s="13" t="s">
        <v>16</v>
      </c>
      <c r="D26" s="9" t="s">
        <v>49</v>
      </c>
    </row>
    <row r="27" customFormat="false" ht="15" hidden="false" customHeight="false" outlineLevel="0" collapsed="false">
      <c r="A27" s="11" t="s">
        <v>50</v>
      </c>
      <c r="B27" s="17" t="s">
        <v>34</v>
      </c>
      <c r="C27" s="13" t="s">
        <v>16</v>
      </c>
      <c r="D27" s="6" t="s">
        <v>51</v>
      </c>
    </row>
    <row r="28" customFormat="false" ht="15" hidden="false" customHeight="false" outlineLevel="0" collapsed="false">
      <c r="A28" s="14" t="s">
        <v>52</v>
      </c>
      <c r="B28" s="16" t="s">
        <v>34</v>
      </c>
      <c r="C28" s="13" t="s">
        <v>16</v>
      </c>
      <c r="D28" s="9" t="s">
        <v>53</v>
      </c>
    </row>
    <row r="29" customFormat="false" ht="15" hidden="false" customHeight="false" outlineLevel="0" collapsed="false">
      <c r="A29" s="11" t="s">
        <v>54</v>
      </c>
      <c r="B29" s="17" t="s">
        <v>34</v>
      </c>
      <c r="C29" s="13" t="s">
        <v>16</v>
      </c>
      <c r="D29" s="6" t="s">
        <v>55</v>
      </c>
    </row>
    <row r="30" customFormat="false" ht="15" hidden="false" customHeight="true" outlineLevel="0" collapsed="false">
      <c r="A30" s="10" t="s">
        <v>56</v>
      </c>
      <c r="B30" s="10"/>
      <c r="C30" s="10"/>
      <c r="D30" s="10"/>
    </row>
    <row r="31" customFormat="false" ht="22.35" hidden="false" customHeight="false" outlineLevel="0" collapsed="false">
      <c r="A31" s="11" t="s">
        <v>57</v>
      </c>
      <c r="B31" s="17" t="s">
        <v>34</v>
      </c>
      <c r="C31" s="13" t="s">
        <v>16</v>
      </c>
      <c r="D31" s="6" t="s">
        <v>58</v>
      </c>
    </row>
    <row r="32" customFormat="false" ht="15" hidden="false" customHeight="false" outlineLevel="0" collapsed="false">
      <c r="A32" s="14" t="s">
        <v>59</v>
      </c>
      <c r="B32" s="16" t="s">
        <v>34</v>
      </c>
      <c r="C32" s="13" t="s">
        <v>16</v>
      </c>
      <c r="D32" s="9" t="s">
        <v>60</v>
      </c>
    </row>
    <row r="33" customFormat="false" ht="15" hidden="false" customHeight="false" outlineLevel="0" collapsed="false">
      <c r="A33" s="11" t="s">
        <v>61</v>
      </c>
      <c r="B33" s="17" t="s">
        <v>34</v>
      </c>
      <c r="C33" s="13" t="s">
        <v>16</v>
      </c>
      <c r="D33" s="6" t="s">
        <v>62</v>
      </c>
    </row>
    <row r="34" customFormat="false" ht="15" hidden="false" customHeight="false" outlineLevel="0" collapsed="false">
      <c r="A34" s="14" t="s">
        <v>63</v>
      </c>
      <c r="B34" s="16" t="s">
        <v>34</v>
      </c>
      <c r="C34" s="13" t="s">
        <v>16</v>
      </c>
      <c r="D34" s="9" t="s">
        <v>64</v>
      </c>
    </row>
    <row r="35" customFormat="false" ht="22.35" hidden="false" customHeight="false" outlineLevel="0" collapsed="false">
      <c r="A35" s="11" t="s">
        <v>65</v>
      </c>
      <c r="B35" s="17" t="s">
        <v>34</v>
      </c>
      <c r="C35" s="13" t="s">
        <v>16</v>
      </c>
      <c r="D35" s="6" t="s">
        <v>66</v>
      </c>
    </row>
    <row r="36" customFormat="false" ht="15" hidden="false" customHeight="true" outlineLevel="0" collapsed="false">
      <c r="A36" s="10" t="s">
        <v>67</v>
      </c>
      <c r="B36" s="10"/>
      <c r="C36" s="10"/>
      <c r="D36" s="10"/>
    </row>
    <row r="37" customFormat="false" ht="15" hidden="false" customHeight="false" outlineLevel="0" collapsed="false">
      <c r="A37" s="11" t="s">
        <v>68</v>
      </c>
      <c r="B37" s="12" t="s">
        <v>16</v>
      </c>
      <c r="C37" s="13" t="s">
        <v>16</v>
      </c>
      <c r="D37" s="6" t="s">
        <v>69</v>
      </c>
    </row>
    <row r="38" customFormat="false" ht="15" hidden="false" customHeight="false" outlineLevel="0" collapsed="false">
      <c r="A38" s="14" t="s">
        <v>70</v>
      </c>
      <c r="B38" s="16" t="s">
        <v>34</v>
      </c>
      <c r="C38" s="13" t="s">
        <v>16</v>
      </c>
      <c r="D38" s="9" t="s">
        <v>71</v>
      </c>
    </row>
    <row r="39" customFormat="false" ht="15" hidden="false" customHeight="false" outlineLevel="0" collapsed="false">
      <c r="A39" s="11" t="s">
        <v>72</v>
      </c>
      <c r="B39" s="18" t="s">
        <v>73</v>
      </c>
      <c r="C39" s="19" t="s">
        <v>74</v>
      </c>
      <c r="D39" s="6" t="s">
        <v>75</v>
      </c>
    </row>
    <row r="40" customFormat="false" ht="22.35" hidden="false" customHeight="false" outlineLevel="0" collapsed="false">
      <c r="A40" s="14" t="s">
        <v>76</v>
      </c>
      <c r="B40" s="16" t="s">
        <v>34</v>
      </c>
      <c r="C40" s="13" t="s">
        <v>16</v>
      </c>
      <c r="D40" s="9" t="s">
        <v>77</v>
      </c>
    </row>
    <row r="42" customFormat="false" ht="15" hidden="false" customHeight="true" outlineLevel="0" collapsed="false">
      <c r="A42" s="20" t="s">
        <v>78</v>
      </c>
      <c r="B42" s="20"/>
      <c r="C42" s="20"/>
      <c r="D42" s="20"/>
    </row>
  </sheetData>
  <mergeCells count="9">
    <mergeCell ref="A1:D1"/>
    <mergeCell ref="A2:D2"/>
    <mergeCell ref="A8:D8"/>
    <mergeCell ref="A14:D14"/>
    <mergeCell ref="A19:D19"/>
    <mergeCell ref="A25:D25"/>
    <mergeCell ref="A30:D30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8"/>
  </cols>
  <sheetData>
    <row r="1" customFormat="false" ht="19.7" hidden="false" customHeight="true" outlineLevel="0" collapsed="false">
      <c r="A1" s="1" t="s">
        <v>79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10" t="s">
        <v>80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4" t="s">
        <v>81</v>
      </c>
      <c r="B4" s="21" t="n">
        <v>299</v>
      </c>
      <c r="C4" s="22"/>
      <c r="D4" s="22"/>
      <c r="E4" s="22"/>
      <c r="F4" s="22"/>
    </row>
    <row r="5" customFormat="false" ht="15" hidden="false" customHeight="false" outlineLevel="0" collapsed="false">
      <c r="A5" s="4" t="s">
        <v>82</v>
      </c>
      <c r="B5" s="21" t="n">
        <v>599</v>
      </c>
      <c r="C5" s="22"/>
      <c r="D5" s="22"/>
      <c r="E5" s="22"/>
      <c r="F5" s="22"/>
    </row>
    <row r="6" customFormat="false" ht="15" hidden="false" customHeight="false" outlineLevel="0" collapsed="false">
      <c r="A6" s="4" t="s">
        <v>83</v>
      </c>
      <c r="B6" s="23" t="n">
        <f aca="false">B4*10</f>
        <v>2990</v>
      </c>
      <c r="C6" s="22"/>
      <c r="D6" s="22"/>
      <c r="E6" s="22"/>
      <c r="F6" s="22"/>
    </row>
    <row r="7" customFormat="false" ht="26.85" hidden="false" customHeight="false" outlineLevel="0" collapsed="false">
      <c r="A7" s="4" t="s">
        <v>84</v>
      </c>
      <c r="B7" s="23" t="n">
        <f aca="false">B5*10</f>
        <v>5990</v>
      </c>
      <c r="C7" s="22"/>
      <c r="D7" s="22"/>
      <c r="E7" s="22"/>
      <c r="F7" s="22"/>
    </row>
    <row r="8" customFormat="false" ht="15" hidden="false" customHeight="false" outlineLevel="0" collapsed="false">
      <c r="A8" s="4" t="s">
        <v>85</v>
      </c>
      <c r="B8" s="24" t="n">
        <v>0.6</v>
      </c>
      <c r="C8" s="22"/>
      <c r="D8" s="22"/>
      <c r="E8" s="22"/>
      <c r="F8" s="22"/>
    </row>
    <row r="9" customFormat="false" ht="15" hidden="false" customHeight="false" outlineLevel="0" collapsed="false">
      <c r="A9" s="4" t="s">
        <v>86</v>
      </c>
      <c r="B9" s="24" t="n">
        <v>0.02</v>
      </c>
      <c r="C9" s="22"/>
      <c r="D9" s="22"/>
      <c r="E9" s="22"/>
      <c r="F9" s="22"/>
    </row>
    <row r="11" customFormat="false" ht="15" hidden="false" customHeight="false" outlineLevel="0" collapsed="false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92</v>
      </c>
    </row>
    <row r="12" customFormat="false" ht="15" hidden="false" customHeight="false" outlineLevel="0" collapsed="false">
      <c r="A12" s="7" t="s">
        <v>93</v>
      </c>
      <c r="B12" s="25" t="n">
        <v>3</v>
      </c>
      <c r="C12" s="25" t="n">
        <v>8</v>
      </c>
      <c r="D12" s="25" t="n">
        <v>18</v>
      </c>
      <c r="E12" s="25" t="n">
        <v>35</v>
      </c>
      <c r="F12" s="26" t="n">
        <f aca="false">SUM(B12:E12)</f>
        <v>64</v>
      </c>
    </row>
    <row r="13" customFormat="false" ht="15" hidden="false" customHeight="false" outlineLevel="0" collapsed="false">
      <c r="A13" s="11" t="s">
        <v>94</v>
      </c>
      <c r="B13" s="22" t="n">
        <f aca="false">ROUND(B12*$B$8,0)</f>
        <v>2</v>
      </c>
      <c r="C13" s="22" t="n">
        <f aca="false">ROUND(C12*$B$8,0)</f>
        <v>5</v>
      </c>
      <c r="D13" s="22" t="n">
        <f aca="false">ROUND(D12*$B$8,0)</f>
        <v>11</v>
      </c>
      <c r="E13" s="22" t="n">
        <f aca="false">ROUND(E12*$B$8,0)</f>
        <v>21</v>
      </c>
      <c r="F13" s="22" t="n">
        <f aca="false">SUM(B13:E13)</f>
        <v>39</v>
      </c>
    </row>
    <row r="14" customFormat="false" ht="15" hidden="false" customHeight="false" outlineLevel="0" collapsed="false">
      <c r="A14" s="14" t="s">
        <v>95</v>
      </c>
      <c r="B14" s="27" t="n">
        <f aca="false">B12-B13</f>
        <v>1</v>
      </c>
      <c r="C14" s="27" t="n">
        <f aca="false">C12-C13</f>
        <v>3</v>
      </c>
      <c r="D14" s="27" t="n">
        <f aca="false">D12-D13</f>
        <v>7</v>
      </c>
      <c r="E14" s="27" t="n">
        <f aca="false">E12-E13</f>
        <v>14</v>
      </c>
      <c r="F14" s="27" t="n">
        <f aca="false">SUM(B14:E14)</f>
        <v>25</v>
      </c>
    </row>
    <row r="15" customFormat="false" ht="15" hidden="false" customHeight="false" outlineLevel="0" collapsed="false">
      <c r="A15" s="28" t="s">
        <v>96</v>
      </c>
      <c r="B15" s="29" t="n">
        <f aca="false">B12</f>
        <v>3</v>
      </c>
      <c r="C15" s="29" t="n">
        <f aca="false">B15+C12</f>
        <v>11</v>
      </c>
      <c r="D15" s="29" t="n">
        <f aca="false">C15+D12</f>
        <v>29</v>
      </c>
      <c r="E15" s="29" t="n">
        <f aca="false">D15+E12</f>
        <v>64</v>
      </c>
      <c r="F15" s="29" t="n">
        <f aca="false">E15</f>
        <v>64</v>
      </c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</row>
    <row r="17" customFormat="false" ht="15" hidden="false" customHeight="false" outlineLevel="0" collapsed="false">
      <c r="A17" s="11" t="s">
        <v>97</v>
      </c>
      <c r="B17" s="30" t="n">
        <f aca="false">($B$4*$B$8)+($B$5*(1-$B$8))</f>
        <v>419</v>
      </c>
      <c r="C17" s="30" t="n">
        <f aca="false">($B$4*$B$8)+($B$5*(1-$B$8))</f>
        <v>419</v>
      </c>
      <c r="D17" s="30" t="n">
        <f aca="false">($B$4*$B$8)+($B$5*(1-$B$8))</f>
        <v>419</v>
      </c>
      <c r="E17" s="30" t="n">
        <f aca="false">($B$4*$B$8)+($B$5*(1-$B$8))</f>
        <v>419</v>
      </c>
      <c r="F17" s="30" t="n">
        <f aca="false">($B$4*$B$8)+($B$5*(1-$B$8))</f>
        <v>419</v>
      </c>
    </row>
    <row r="18" customFormat="false" ht="15" hidden="false" customHeight="false" outlineLevel="0" collapsed="false">
      <c r="A18" s="7" t="s">
        <v>98</v>
      </c>
      <c r="B18" s="31" t="n">
        <f aca="false">B15*B17</f>
        <v>1257</v>
      </c>
      <c r="C18" s="31" t="n">
        <f aca="false">C15*C17</f>
        <v>4609</v>
      </c>
      <c r="D18" s="31" t="n">
        <f aca="false">D15*D17</f>
        <v>12151</v>
      </c>
      <c r="E18" s="31" t="n">
        <f aca="false">E15*E17</f>
        <v>26816</v>
      </c>
      <c r="F18" s="31" t="n">
        <f aca="false">E18</f>
        <v>26816</v>
      </c>
    </row>
    <row r="19" customFormat="false" ht="15" hidden="false" customHeight="false" outlineLevel="0" collapsed="false">
      <c r="A19" s="4" t="s">
        <v>99</v>
      </c>
      <c r="B19" s="23" t="n">
        <f aca="false">B18*3</f>
        <v>3771</v>
      </c>
      <c r="C19" s="23" t="n">
        <f aca="false">C18*3</f>
        <v>13827</v>
      </c>
      <c r="D19" s="23" t="n">
        <f aca="false">D18*3</f>
        <v>36453</v>
      </c>
      <c r="E19" s="23" t="n">
        <f aca="false">E18*3</f>
        <v>80448</v>
      </c>
      <c r="F19" s="32" t="n">
        <f aca="false">SUM(B19:E19)</f>
        <v>134499</v>
      </c>
    </row>
    <row r="20" customFormat="false" ht="15" hidden="false" customHeight="false" outlineLevel="0" collapsed="false">
      <c r="A20" s="33" t="s">
        <v>100</v>
      </c>
      <c r="B20" s="34" t="n">
        <f aca="false">B18*12</f>
        <v>15084</v>
      </c>
      <c r="C20" s="34" t="n">
        <f aca="false">C18*12</f>
        <v>55308</v>
      </c>
      <c r="D20" s="34" t="n">
        <f aca="false">D18*12</f>
        <v>145812</v>
      </c>
      <c r="E20" s="34" t="n">
        <f aca="false">E18*12</f>
        <v>321792</v>
      </c>
      <c r="F20" s="35" t="n">
        <f aca="false">E20</f>
        <v>321792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2"/>
  </cols>
  <sheetData>
    <row r="1" customFormat="false" ht="19.7" hidden="false" customHeight="true" outlineLevel="0" collapsed="false">
      <c r="A1" s="36" t="s">
        <v>101</v>
      </c>
      <c r="B1" s="36"/>
      <c r="C1" s="36"/>
      <c r="D1" s="36"/>
      <c r="E1" s="36"/>
    </row>
    <row r="2" customFormat="false" ht="15" hidden="false" customHeight="true" outlineLevel="0" collapsed="false">
      <c r="A2" s="37" t="s">
        <v>102</v>
      </c>
      <c r="B2" s="37"/>
      <c r="C2" s="37"/>
      <c r="D2" s="37"/>
      <c r="E2" s="37"/>
    </row>
    <row r="4" customFormat="false" ht="26.85" hidden="false" customHeight="false" outlineLevel="0" collapsed="false">
      <c r="A4" s="3"/>
      <c r="B4" s="3" t="s">
        <v>103</v>
      </c>
      <c r="C4" s="3" t="s">
        <v>104</v>
      </c>
      <c r="D4" s="3" t="s">
        <v>105</v>
      </c>
      <c r="E4" s="3" t="s">
        <v>106</v>
      </c>
    </row>
    <row r="5" customFormat="false" ht="22.05" hidden="false" customHeight="false" outlineLevel="0" collapsed="false">
      <c r="A5" s="7" t="s">
        <v>107</v>
      </c>
      <c r="B5" s="38" t="n">
        <v>599</v>
      </c>
      <c r="C5" s="39" t="n">
        <v>299</v>
      </c>
      <c r="D5" s="40" t="n">
        <f aca="false">B5-C5</f>
        <v>300</v>
      </c>
      <c r="E5" s="38" t="n">
        <v>599</v>
      </c>
    </row>
    <row r="6" customFormat="false" ht="15" hidden="false" customHeight="false" outlineLevel="0" collapsed="false">
      <c r="A6" s="4" t="s">
        <v>108</v>
      </c>
      <c r="B6" s="23" t="n">
        <f aca="false">B5*6</f>
        <v>3594</v>
      </c>
      <c r="C6" s="41" t="n">
        <f aca="false">C5*6</f>
        <v>1794</v>
      </c>
      <c r="D6" s="42" t="n">
        <f aca="false">B6-C6</f>
        <v>1800</v>
      </c>
      <c r="E6" s="22" t="s">
        <v>109</v>
      </c>
    </row>
    <row r="7" customFormat="false" ht="15" hidden="false" customHeight="false" outlineLevel="0" collapsed="false">
      <c r="A7" s="7" t="s">
        <v>110</v>
      </c>
      <c r="B7" s="27" t="s">
        <v>111</v>
      </c>
      <c r="C7" s="43" t="s">
        <v>111</v>
      </c>
      <c r="D7" s="27" t="s">
        <v>109</v>
      </c>
      <c r="E7" s="27" t="s">
        <v>111</v>
      </c>
    </row>
    <row r="8" customFormat="false" ht="15" hidden="false" customHeight="false" outlineLevel="0" collapsed="false">
      <c r="A8" s="4" t="s">
        <v>112</v>
      </c>
      <c r="B8" s="22" t="s">
        <v>113</v>
      </c>
      <c r="C8" s="19" t="s">
        <v>114</v>
      </c>
      <c r="D8" s="22" t="s">
        <v>109</v>
      </c>
      <c r="E8" s="22" t="s">
        <v>113</v>
      </c>
    </row>
    <row r="9" customFormat="false" ht="15" hidden="false" customHeight="false" outlineLevel="0" collapsed="false">
      <c r="A9" s="7" t="s">
        <v>115</v>
      </c>
      <c r="B9" s="27" t="s">
        <v>116</v>
      </c>
      <c r="C9" s="19" t="s">
        <v>117</v>
      </c>
      <c r="D9" s="27" t="s">
        <v>109</v>
      </c>
      <c r="E9" s="27" t="s">
        <v>116</v>
      </c>
    </row>
    <row r="10" customFormat="false" ht="15" hidden="false" customHeight="false" outlineLevel="0" collapsed="false">
      <c r="A10" s="4" t="s">
        <v>118</v>
      </c>
      <c r="B10" s="22" t="s">
        <v>119</v>
      </c>
      <c r="C10" s="44" t="s">
        <v>119</v>
      </c>
      <c r="D10" s="22" t="s">
        <v>109</v>
      </c>
      <c r="E10" s="22" t="s">
        <v>119</v>
      </c>
    </row>
    <row r="12" customFormat="false" ht="15" hidden="false" customHeight="true" outlineLevel="0" collapsed="false">
      <c r="A12" s="10" t="s">
        <v>120</v>
      </c>
      <c r="B12" s="10"/>
      <c r="C12" s="10"/>
      <c r="D12" s="10"/>
      <c r="E12" s="10"/>
    </row>
    <row r="13" customFormat="false" ht="15" hidden="false" customHeight="true" outlineLevel="0" collapsed="false">
      <c r="A13" s="14" t="s">
        <v>121</v>
      </c>
      <c r="B13" s="14"/>
      <c r="C13" s="14"/>
      <c r="D13" s="14"/>
      <c r="E13" s="14"/>
    </row>
    <row r="14" customFormat="false" ht="15" hidden="false" customHeight="true" outlineLevel="0" collapsed="false">
      <c r="A14" s="14" t="s">
        <v>122</v>
      </c>
      <c r="B14" s="14"/>
      <c r="C14" s="14"/>
      <c r="D14" s="14"/>
      <c r="E14" s="14"/>
    </row>
    <row r="15" customFormat="false" ht="15" hidden="false" customHeight="true" outlineLevel="0" collapsed="false">
      <c r="A15" s="14" t="s">
        <v>123</v>
      </c>
      <c r="B15" s="14"/>
      <c r="C15" s="14"/>
      <c r="D15" s="14"/>
      <c r="E15" s="14"/>
    </row>
    <row r="16" customFormat="false" ht="15" hidden="false" customHeight="true" outlineLevel="0" collapsed="false">
      <c r="A16" s="14" t="s">
        <v>124</v>
      </c>
      <c r="B16" s="14"/>
      <c r="C16" s="14"/>
      <c r="D16" s="14"/>
      <c r="E16" s="14"/>
    </row>
    <row r="17" customFormat="false" ht="15" hidden="false" customHeight="true" outlineLevel="0" collapsed="false">
      <c r="A17" s="14" t="s">
        <v>125</v>
      </c>
      <c r="B17" s="14"/>
      <c r="C17" s="14"/>
      <c r="D17" s="14"/>
      <c r="E17" s="14"/>
    </row>
  </sheetData>
  <mergeCells count="8">
    <mergeCell ref="A1:E1"/>
    <mergeCell ref="A2:E2"/>
    <mergeCell ref="A12:E12"/>
    <mergeCell ref="A13:E13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2026-04-24T15:37:55Z</dcterms:created>
  <dc:creator>openpyxl</dc:creator>
  <dc:description/>
  <dc:language>en-US</dc:language>
  <cp:lastModifiedBy/>
  <dcterms:modified xsi:type="dcterms:W3CDTF">2026-04-24T15:37:55Z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