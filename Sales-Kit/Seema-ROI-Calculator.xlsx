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 Calculator" sheetId="1" state="visible" r:id="rId3"/>
    <sheet name="Risk Cost Analysis" sheetId="2" state="visible" r:id="rId4"/>
    <sheet name="Feature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<sst xmlns="http://schemas.openxmlformats.org/spreadsheetml/2006/main" count="206" uniqueCount="160">
  <si>
    <t xml:space="preserve">SEEMA ROI CALCULATOR</t>
  </si>
  <si>
    <t xml:space="preserve">Calculate savings across Seema's 5 core compliance workflows</t>
  </si>
  <si>
    <t xml:space="preserve">YOUR FIRM DETAILS (edit blue cells)</t>
  </si>
  <si>
    <t xml:space="preserve">Number of fee-earners</t>
  </si>
  <si>
    <t xml:space="preserve">Enter your firm size</t>
  </si>
  <si>
    <t xml:space="preserve">Average hourly rate (GBP)</t>
  </si>
  <si>
    <t xml:space="preserve">Blended rate across all fee-earners</t>
  </si>
  <si>
    <t xml:space="preserve">COLP hours on compliance per week</t>
  </si>
  <si>
    <t xml:space="preserve">Hours your COLP spends on compliance</t>
  </si>
  <si>
    <t xml:space="preserve">Current compliance consultant cost (GBP/month)</t>
  </si>
  <si>
    <t xml:space="preserve">External consultant fees</t>
  </si>
  <si>
    <t xml:space="preserve">Current compliance tools cost (GBP/month)</t>
  </si>
  <si>
    <t xml:space="preserve">Spreadsheets, trackers, etc.</t>
  </si>
  <si>
    <t xml:space="preserve">Seema plan cost (GBP/month)</t>
  </si>
  <si>
    <t xml:space="preserve">Starter: 49 / Professional: 149 / Enterprise: 349</t>
  </si>
  <si>
    <t xml:space="preserve">TIME SAVINGS BY CORE WORKFLOW (per month)</t>
  </si>
  <si>
    <t xml:space="preserve">Hours Saved</t>
  </si>
  <si>
    <t xml:space="preserve">Value (GBP)</t>
  </si>
  <si>
    <t xml:space="preserve">How Seema Saves Time</t>
  </si>
  <si>
    <t xml:space="preserve">1. DASHBOARD</t>
  </si>
  <si>
    <t xml:space="preserve">   Compliance status checking &amp; reporting</t>
  </si>
  <si>
    <t xml:space="preserve">Real-time health score replaces manual reviews</t>
  </si>
  <si>
    <t xml:space="preserve">   Task tracking &amp; deadline management</t>
  </si>
  <si>
    <t xml:space="preserve">Automated reminders &amp; escalation via Celery</t>
  </si>
  <si>
    <t xml:space="preserve">2. REGULATORY INTELLIGENCE</t>
  </si>
  <si>
    <t xml:space="preserve">   Manual regulatory source checking</t>
  </si>
  <si>
    <t xml:space="preserve">AI monitors 5 sources every 4 hours (30 scans/day)</t>
  </si>
  <si>
    <t xml:space="preserve">   Impact assessment &amp; action planning</t>
  </si>
  <si>
    <t xml:space="preserve">AI analyses impact on your firm, generates actions</t>
  </si>
  <si>
    <t xml:space="preserve">3. BREACH REPORTING</t>
  </si>
  <si>
    <t xml:space="preserve">   Breach assessment &amp; ICO evaluation</t>
  </si>
  <si>
    <t xml:space="preserve">AI analyses breaches, assesses notification requirement</t>
  </si>
  <si>
    <t xml:space="preserve">   Deadline tracking &amp; notification</t>
  </si>
  <si>
    <t xml:space="preserve">Auto-calculated 72h ICO deadlines, COLP email alerts</t>
  </si>
  <si>
    <t xml:space="preserve">   Remediation planning</t>
  </si>
  <si>
    <t xml:space="preserve">AI generates prioritised remediation with deadlines</t>
  </si>
  <si>
    <t xml:space="preserve">4. SRA AUDIT WORKFLOW</t>
  </si>
  <si>
    <t xml:space="preserve">   Annual return data compilation</t>
  </si>
  <si>
    <t xml:space="preserve">Pre-populated from year-round compliance data</t>
  </si>
  <si>
    <t xml:space="preserve">   Audit trail maintenance</t>
  </si>
  <si>
    <t xml:space="preserve">Automatic timestamped logging of all activity</t>
  </si>
  <si>
    <t xml:space="preserve">   Inspection preparation</t>
  </si>
  <si>
    <t xml:space="preserve">Everything inspection-ready at all times</t>
  </si>
  <si>
    <t xml:space="preserve">5. POLICY MANAGEMENT</t>
  </si>
  <si>
    <t xml:space="preserve">   Policy drafting &amp; updates</t>
  </si>
  <si>
    <t xml:space="preserve">AI generates policies with UK regulatory references</t>
  </si>
  <si>
    <t xml:space="preserve">   Policy review scheduling</t>
  </si>
  <si>
    <t xml:space="preserve">Automatic reminders when reviews are due</t>
  </si>
  <si>
    <t xml:space="preserve">TOTAL TIME SAVINGS PER MONTH</t>
  </si>
  <si>
    <t xml:space="preserve">ADDITIONAL FEATURES (extra time savings)</t>
  </si>
  <si>
    <t xml:space="preserve">Hours</t>
  </si>
  <si>
    <t xml:space="preserve">Value</t>
  </si>
  <si>
    <t xml:space="preserve">AML / KYC compliance checks</t>
  </si>
  <si>
    <t xml:space="preserve">Automated screening and documentation</t>
  </si>
  <si>
    <t xml:space="preserve">Conflict of interest checks</t>
  </si>
  <si>
    <t xml:space="preserve">Automated screening on new matters</t>
  </si>
  <si>
    <t xml:space="preserve">Complaints handling workflow</t>
  </si>
  <si>
    <t xml:space="preserve">Full lifecycle with SRA timelines</t>
  </si>
  <si>
    <t xml:space="preserve">Staff competency &amp; CPD tracking</t>
  </si>
  <si>
    <t xml:space="preserve">Automated reminders and tracking</t>
  </si>
  <si>
    <t xml:space="preserve">Risk register management</t>
  </si>
  <si>
    <t xml:space="preserve">Centralised risk tracking and mitigation</t>
  </si>
  <si>
    <t xml:space="preserve">ROI SUMMARY</t>
  </si>
  <si>
    <t xml:space="preserve">Core workflow time savings (5 workflows)</t>
  </si>
  <si>
    <t xml:space="preserve">Additional features time savings</t>
  </si>
  <si>
    <t xml:space="preserve">Reduced consultant spend (50% reduction)</t>
  </si>
  <si>
    <t xml:space="preserve">Replace existing compliance tools</t>
  </si>
  <si>
    <t xml:space="preserve">TOTAL MONTHLY BENEFITS</t>
  </si>
  <si>
    <t xml:space="preserve">Seema monthly cost</t>
  </si>
  <si>
    <t xml:space="preserve">NET MONTHLY SAVINGS</t>
  </si>
  <si>
    <t xml:space="preserve">NET ANNUAL SAVINGS</t>
  </si>
  <si>
    <t xml:space="preserve">RETURN ON INVESTMENT</t>
  </si>
  <si>
    <t xml:space="preserve">PAYBACK PERIOD (days)</t>
  </si>
  <si>
    <t xml:space="preserve">COST OF NON-COMPLIANCE</t>
  </si>
  <si>
    <t xml:space="preserve">What happens when compliance fails — mapped to Seema's 5 core workflows</t>
  </si>
  <si>
    <t xml:space="preserve">FAILURE SCENARIO</t>
  </si>
  <si>
    <t xml:space="preserve">MIN COST</t>
  </si>
  <si>
    <t xml:space="preserve">MAX COST</t>
  </si>
  <si>
    <t xml:space="preserve">WHICH WORKFLOW PREVENTS IT</t>
  </si>
  <si>
    <t xml:space="preserve">Missed SRA regulatory change</t>
  </si>
  <si>
    <t xml:space="preserve">£10,000</t>
  </si>
  <si>
    <t xml:space="preserve">£50,000</t>
  </si>
  <si>
    <t xml:space="preserve">Regulatory Intelligence</t>
  </si>
  <si>
    <t xml:space="preserve">Late ICO breach notification (&gt;72h)</t>
  </si>
  <si>
    <t xml:space="preserve">£5,000</t>
  </si>
  <si>
    <t xml:space="preserve">£17,500,000</t>
  </si>
  <si>
    <t xml:space="preserve">Breach Reporting</t>
  </si>
  <si>
    <t xml:space="preserve">No breach remediation plan</t>
  </si>
  <si>
    <t xml:space="preserve">£100,000</t>
  </si>
  <si>
    <t xml:space="preserve">Outdated compliance policies</t>
  </si>
  <si>
    <t xml:space="preserve">£25,000</t>
  </si>
  <si>
    <t xml:space="preserve">Policy Management</t>
  </si>
  <si>
    <t xml:space="preserve">Missing AML/KYC documentation</t>
  </si>
  <si>
    <t xml:space="preserve">£500,000</t>
  </si>
  <si>
    <t xml:space="preserve">Additional: AML/KYC</t>
  </si>
  <si>
    <t xml:space="preserve">Failed SRA inspection — no audit trail</t>
  </si>
  <si>
    <t xml:space="preserve">£250,000</t>
  </si>
  <si>
    <t xml:space="preserve">SRA Audit Workflow</t>
  </si>
  <si>
    <t xml:space="preserve">SRA annual return errors</t>
  </si>
  <si>
    <t xml:space="preserve">Unmonitored compliance posture</t>
  </si>
  <si>
    <t xml:space="preserve">Dashboard</t>
  </si>
  <si>
    <t xml:space="preserve">Reputational damage from breach</t>
  </si>
  <si>
    <t xml:space="preserve">£20,000</t>
  </si>
  <si>
    <t xml:space="preserve">SRA intervention (worst case)</t>
  </si>
  <si>
    <t xml:space="preserve">£1,000,000</t>
  </si>
  <si>
    <t xml:space="preserve">All 5 Workflows</t>
  </si>
  <si>
    <t xml:space="preserve">SEEMA vs ALTERNATIVES — by Core Workflow</t>
  </si>
  <si>
    <t xml:space="preserve">CAPABILITY</t>
  </si>
  <si>
    <t xml:space="preserve">SEEMA</t>
  </si>
  <si>
    <t xml:space="preserve">SPREADSHEETS</t>
  </si>
  <si>
    <t xml:space="preserve">GENERIC TOOLS</t>
  </si>
  <si>
    <t xml:space="preserve">DASHBOARD</t>
  </si>
  <si>
    <t xml:space="preserve">   Real-time compliance health score</t>
  </si>
  <si>
    <t xml:space="preserve">Yes</t>
  </si>
  <si>
    <t xml:space="preserve">No</t>
  </si>
  <si>
    <t xml:space="preserve">Basic</t>
  </si>
  <si>
    <t xml:space="preserve">   Automated task management</t>
  </si>
  <si>
    <t xml:space="preserve">20+ Celery tasks</t>
  </si>
  <si>
    <t xml:space="preserve">Manual</t>
  </si>
  <si>
    <t xml:space="preserve">Limited</t>
  </si>
  <si>
    <t xml:space="preserve">   Critical alert notifications</t>
  </si>
  <si>
    <t xml:space="preserve">Email + in-app</t>
  </si>
  <si>
    <t xml:space="preserve">None</t>
  </si>
  <si>
    <t xml:space="preserve">REGULATORY INTELLIGENCE</t>
  </si>
  <si>
    <t xml:space="preserve">   Multi-source monitoring (5 sources)</t>
  </si>
  <si>
    <t xml:space="preserve">Every 4 hours</t>
  </si>
  <si>
    <t xml:space="preserve">   AI impact analysis per firm</t>
  </si>
  <si>
    <t xml:space="preserve">   Action items with deadlines</t>
  </si>
  <si>
    <t xml:space="preserve">Auto-generated</t>
  </si>
  <si>
    <t xml:space="preserve">BREACH REPORTING</t>
  </si>
  <si>
    <t xml:space="preserve">   72-hour ICO deadline tracking</t>
  </si>
  <si>
    <t xml:space="preserve">Auto-calculated</t>
  </si>
  <si>
    <t xml:space="preserve">   AI breach analysis</t>
  </si>
  <si>
    <t xml:space="preserve">   Automatic COLP email alerts</t>
  </si>
  <si>
    <t xml:space="preserve">SRA AUDIT WORKFLOW</t>
  </si>
  <si>
    <t xml:space="preserve">   Pre-populated annual return</t>
  </si>
  <si>
    <t xml:space="preserve">   Tamper-proof audit trail</t>
  </si>
  <si>
    <t xml:space="preserve">Automatic</t>
  </si>
  <si>
    <t xml:space="preserve">   Inspection-ready records</t>
  </si>
  <si>
    <t xml:space="preserve">Always</t>
  </si>
  <si>
    <t xml:space="preserve">Days of prep</t>
  </si>
  <si>
    <t xml:space="preserve">Partial</t>
  </si>
  <si>
    <t xml:space="preserve">POLICY MANAGEMENT</t>
  </si>
  <si>
    <t xml:space="preserve">   AI policy generation (UK law)</t>
  </si>
  <si>
    <t xml:space="preserve">6 categories</t>
  </si>
  <si>
    <t xml:space="preserve">Generic</t>
  </si>
  <si>
    <t xml:space="preserve">   Review date tracking</t>
  </si>
  <si>
    <t xml:space="preserve">Auto-reminders</t>
  </si>
  <si>
    <t xml:space="preserve">   UK regulatory references</t>
  </si>
  <si>
    <t xml:space="preserve">Built-in</t>
  </si>
  <si>
    <t xml:space="preserve">ADDITIONAL FEATURES</t>
  </si>
  <si>
    <t xml:space="preserve">   AML/KYC compliance</t>
  </si>
  <si>
    <t xml:space="preserve">   Conflict checks</t>
  </si>
  <si>
    <t xml:space="preserve">Automated</t>
  </si>
  <si>
    <t xml:space="preserve">   Staff competency / CPD</t>
  </si>
  <si>
    <t xml:space="preserve">Tracked</t>
  </si>
  <si>
    <t xml:space="preserve">   Multi-tenant data isolation</t>
  </si>
  <si>
    <t xml:space="preserve">Row-level</t>
  </si>
  <si>
    <t xml:space="preserve">N/A</t>
  </si>
  <si>
    <t xml:space="preserve">Shared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</si>
</sst>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£#,##0"/>
    <numFmt numFmtId="167" formatCode="0%"/>
    <numFmt numFmtId="168" formatCode="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0891B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64748B"/>
      <name val="Arial"/>
      <family val="0"/>
      <charset val="1"/>
    </font>
    <font>
      <sz val="10"/>
      <color rgb="FF1B2A4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3"/>
      <color rgb="FF05966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DC262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0"/>
      <color rgb="FF05966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0891B2"/>
        <bgColor rgb="FF059669"/>
      </patternFill>
    </fill>
    <fill>
      <patternFill patternType="solid">
        <fgColor rgb="FFF8FAFC"/>
        <bgColor rgb="FFFFFFFF"/>
      </patternFill>
    </fill>
    <fill>
      <patternFill patternType="solid">
        <fgColor rgb="FFFFFFF0"/>
        <bgColor rgb="FFFFFFFF"/>
      </patternFill>
    </fill>
    <fill>
      <patternFill patternType="solid">
        <fgColor rgb="FFFFFFFF"/>
        <bgColor rgb="FFFFFFF0"/>
      </patternFill>
    </fill>
    <fill>
      <patternFill patternType="solid">
        <fgColor rgb="FFE0F2FE"/>
        <bgColor rgb="FFE2E8F0"/>
      </patternFill>
    </fill>
    <fill>
      <patternFill patternType="solid">
        <fgColor rgb="FF64748B"/>
        <bgColor rgb="FF808080"/>
      </patternFill>
    </fill>
    <fill>
      <patternFill patternType="solid">
        <fgColor rgb="FFECFDF5"/>
        <bgColor rgb="FFF8FAFC"/>
      </patternFill>
    </fill>
    <fill>
      <patternFill patternType="solid">
        <fgColor rgb="FFD1FAE5"/>
        <bgColor rgb="FFE0F2FE"/>
      </patternFill>
    </fill>
    <fill>
      <patternFill patternType="solid">
        <fgColor rgb="FFFEF2F2"/>
        <bgColor rgb="FFF8FAFC"/>
      </patternFill>
    </fill>
    <fill>
      <patternFill patternType="solid">
        <fgColor rgb="FFDC2626"/>
        <bgColor rgb="FFEF4444"/>
      </patternFill>
    </fill>
    <fill>
      <patternFill patternType="solid">
        <fgColor rgb="FFEF4444"/>
        <bgColor rgb="FFDC262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FFFF0"/>
      <rgbColor rgb="FFE0F2FE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ECFDF5"/>
      <rgbColor rgb="FFD1FAE5"/>
      <rgbColor rgb="FFFEF2F2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F9900"/>
      <rgbColor rgb="FFEF4444"/>
      <rgbColor rgb="FF64748B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B2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"/>
  </cols>
  <sheetData>
    <row r="2" customFormat="false" ht="19.7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4"/>
      <c r="D5" s="4"/>
      <c r="E5" s="4"/>
    </row>
    <row r="6" customFormat="false" ht="15" hidden="false" customHeight="false" outlineLevel="0" collapsed="false">
      <c r="B6" s="5" t="s">
        <v>3</v>
      </c>
      <c r="C6" s="6" t="n">
        <v>8</v>
      </c>
      <c r="D6" s="7" t="s">
        <v>4</v>
      </c>
      <c r="E6" s="7"/>
    </row>
    <row r="7" customFormat="false" ht="15" hidden="false" customHeight="false" outlineLevel="0" collapsed="false">
      <c r="B7" s="8" t="s">
        <v>5</v>
      </c>
      <c r="C7" s="6" t="n">
        <v>250</v>
      </c>
      <c r="D7" s="9" t="s">
        <v>6</v>
      </c>
      <c r="E7" s="9"/>
    </row>
    <row r="8" customFormat="false" ht="15" hidden="false" customHeight="false" outlineLevel="0" collapsed="false">
      <c r="B8" s="5" t="s">
        <v>7</v>
      </c>
      <c r="C8" s="6" t="n">
        <v>12</v>
      </c>
      <c r="D8" s="7" t="s">
        <v>8</v>
      </c>
      <c r="E8" s="7"/>
    </row>
    <row r="9" customFormat="false" ht="15" hidden="false" customHeight="false" outlineLevel="0" collapsed="false">
      <c r="B9" s="8" t="s">
        <v>9</v>
      </c>
      <c r="C9" s="6" t="n">
        <v>800</v>
      </c>
      <c r="D9" s="9" t="s">
        <v>10</v>
      </c>
      <c r="E9" s="9"/>
    </row>
    <row r="10" customFormat="false" ht="15" hidden="false" customHeight="false" outlineLevel="0" collapsed="false">
      <c r="B10" s="5" t="s">
        <v>11</v>
      </c>
      <c r="C10" s="6" t="n">
        <v>150</v>
      </c>
      <c r="D10" s="7" t="s">
        <v>12</v>
      </c>
      <c r="E10" s="7"/>
    </row>
    <row r="11" customFormat="false" ht="15" hidden="false" customHeight="false" outlineLevel="0" collapsed="false">
      <c r="B11" s="8" t="s">
        <v>13</v>
      </c>
      <c r="C11" s="6" t="n">
        <v>149</v>
      </c>
      <c r="D11" s="9" t="s">
        <v>14</v>
      </c>
      <c r="E11" s="9"/>
    </row>
    <row r="13" customFormat="false" ht="15" hidden="false" customHeight="false" outlineLevel="0" collapsed="false">
      <c r="B13" s="3" t="s">
        <v>15</v>
      </c>
      <c r="C13" s="10" t="s">
        <v>16</v>
      </c>
      <c r="D13" s="10" t="s">
        <v>17</v>
      </c>
      <c r="E13" s="11" t="s">
        <v>18</v>
      </c>
    </row>
    <row r="14" customFormat="false" ht="15" hidden="false" customHeight="false" outlineLevel="0" collapsed="false">
      <c r="B14" s="12" t="s">
        <v>19</v>
      </c>
      <c r="C14" s="13"/>
      <c r="D14" s="13"/>
      <c r="E14" s="13"/>
    </row>
    <row r="15" customFormat="false" ht="15" hidden="false" customHeight="false" outlineLevel="0" collapsed="false">
      <c r="B15" s="8" t="s">
        <v>20</v>
      </c>
      <c r="C15" s="14" t="n">
        <v>4</v>
      </c>
      <c r="D15" s="15" t="n">
        <f aca="false">C15*C7</f>
        <v>1000</v>
      </c>
      <c r="E15" s="9" t="s">
        <v>21</v>
      </c>
    </row>
    <row r="16" customFormat="false" ht="15" hidden="false" customHeight="false" outlineLevel="0" collapsed="false">
      <c r="B16" s="5" t="s">
        <v>22</v>
      </c>
      <c r="C16" s="16" t="n">
        <v>3</v>
      </c>
      <c r="D16" s="17" t="n">
        <f aca="false">C16*C7</f>
        <v>750</v>
      </c>
      <c r="E16" s="7" t="s">
        <v>23</v>
      </c>
    </row>
    <row r="17" customFormat="false" ht="15" hidden="false" customHeight="false" outlineLevel="0" collapsed="false">
      <c r="B17" s="12" t="s">
        <v>24</v>
      </c>
      <c r="C17" s="13"/>
      <c r="D17" s="13"/>
      <c r="E17" s="13"/>
    </row>
    <row r="18" customFormat="false" ht="15" hidden="false" customHeight="false" outlineLevel="0" collapsed="false">
      <c r="B18" s="5" t="s">
        <v>25</v>
      </c>
      <c r="C18" s="16" t="n">
        <v>6</v>
      </c>
      <c r="D18" s="17" t="n">
        <f aca="false">C18*C7</f>
        <v>1500</v>
      </c>
      <c r="E18" s="7" t="s">
        <v>26</v>
      </c>
    </row>
    <row r="19" customFormat="false" ht="15" hidden="false" customHeight="false" outlineLevel="0" collapsed="false">
      <c r="B19" s="8" t="s">
        <v>27</v>
      </c>
      <c r="C19" s="14" t="n">
        <v>4</v>
      </c>
      <c r="D19" s="15" t="n">
        <f aca="false">C19*C7</f>
        <v>1000</v>
      </c>
      <c r="E19" s="9" t="s">
        <v>28</v>
      </c>
    </row>
    <row r="20" customFormat="false" ht="15" hidden="false" customHeight="false" outlineLevel="0" collapsed="false">
      <c r="B20" s="12" t="s">
        <v>29</v>
      </c>
      <c r="C20" s="13"/>
      <c r="D20" s="13"/>
      <c r="E20" s="13"/>
    </row>
    <row r="21" customFormat="false" ht="15" hidden="false" customHeight="false" outlineLevel="0" collapsed="false">
      <c r="B21" s="8" t="s">
        <v>30</v>
      </c>
      <c r="C21" s="14" t="n">
        <v>3</v>
      </c>
      <c r="D21" s="15" t="n">
        <f aca="false">C21*C7</f>
        <v>750</v>
      </c>
      <c r="E21" s="9" t="s">
        <v>31</v>
      </c>
    </row>
    <row r="22" customFormat="false" ht="15" hidden="false" customHeight="false" outlineLevel="0" collapsed="false">
      <c r="B22" s="5" t="s">
        <v>32</v>
      </c>
      <c r="C22" s="16" t="n">
        <v>2</v>
      </c>
      <c r="D22" s="17" t="n">
        <f aca="false">C22*C7</f>
        <v>500</v>
      </c>
      <c r="E22" s="7" t="s">
        <v>33</v>
      </c>
    </row>
    <row r="23" customFormat="false" ht="15" hidden="false" customHeight="false" outlineLevel="0" collapsed="false">
      <c r="B23" s="8" t="s">
        <v>34</v>
      </c>
      <c r="C23" s="14" t="n">
        <v>2</v>
      </c>
      <c r="D23" s="15" t="n">
        <f aca="false">C23*C7</f>
        <v>500</v>
      </c>
      <c r="E23" s="9" t="s">
        <v>35</v>
      </c>
    </row>
    <row r="24" customFormat="false" ht="15" hidden="false" customHeight="false" outlineLevel="0" collapsed="false">
      <c r="B24" s="12" t="s">
        <v>36</v>
      </c>
      <c r="C24" s="13"/>
      <c r="D24" s="13"/>
      <c r="E24" s="13"/>
    </row>
    <row r="25" customFormat="false" ht="15" hidden="false" customHeight="false" outlineLevel="0" collapsed="false">
      <c r="B25" s="8" t="s">
        <v>37</v>
      </c>
      <c r="C25" s="14" t="n">
        <v>8</v>
      </c>
      <c r="D25" s="15" t="n">
        <f aca="false">C25*C7</f>
        <v>2000</v>
      </c>
      <c r="E25" s="9" t="s">
        <v>38</v>
      </c>
    </row>
    <row r="26" customFormat="false" ht="15" hidden="false" customHeight="false" outlineLevel="0" collapsed="false">
      <c r="B26" s="5" t="s">
        <v>39</v>
      </c>
      <c r="C26" s="16" t="n">
        <v>3</v>
      </c>
      <c r="D26" s="17" t="n">
        <f aca="false">C26*C7</f>
        <v>750</v>
      </c>
      <c r="E26" s="7" t="s">
        <v>40</v>
      </c>
    </row>
    <row r="27" customFormat="false" ht="15" hidden="false" customHeight="false" outlineLevel="0" collapsed="false">
      <c r="B27" s="8" t="s">
        <v>41</v>
      </c>
      <c r="C27" s="14" t="n">
        <v>4</v>
      </c>
      <c r="D27" s="15" t="n">
        <f aca="false">C27*C7</f>
        <v>1000</v>
      </c>
      <c r="E27" s="9" t="s">
        <v>42</v>
      </c>
    </row>
    <row r="28" customFormat="false" ht="15" hidden="false" customHeight="false" outlineLevel="0" collapsed="false">
      <c r="B28" s="12" t="s">
        <v>43</v>
      </c>
      <c r="C28" s="13"/>
      <c r="D28" s="13"/>
      <c r="E28" s="13"/>
    </row>
    <row r="29" customFormat="false" ht="15" hidden="false" customHeight="false" outlineLevel="0" collapsed="false">
      <c r="B29" s="8" t="s">
        <v>44</v>
      </c>
      <c r="C29" s="14" t="n">
        <v>6</v>
      </c>
      <c r="D29" s="15" t="n">
        <f aca="false">C29*C7</f>
        <v>1500</v>
      </c>
      <c r="E29" s="9" t="s">
        <v>45</v>
      </c>
    </row>
    <row r="30" customFormat="false" ht="15" hidden="false" customHeight="false" outlineLevel="0" collapsed="false">
      <c r="B30" s="5" t="s">
        <v>46</v>
      </c>
      <c r="C30" s="16" t="n">
        <v>2</v>
      </c>
      <c r="D30" s="17" t="n">
        <f aca="false">C30*C7</f>
        <v>500</v>
      </c>
      <c r="E30" s="7" t="s">
        <v>47</v>
      </c>
    </row>
    <row r="31" customFormat="false" ht="15" hidden="false" customHeight="false" outlineLevel="0" collapsed="false">
      <c r="B31" s="18" t="s">
        <v>48</v>
      </c>
      <c r="C31" s="19" t="n">
        <f aca="false">SUM(C14:C30)</f>
        <v>47</v>
      </c>
      <c r="D31" s="20" t="n">
        <f aca="false">SUM(D14:D30)</f>
        <v>11750</v>
      </c>
      <c r="E31" s="21"/>
    </row>
    <row r="33" customFormat="false" ht="15" hidden="false" customHeight="false" outlineLevel="0" collapsed="false">
      <c r="B33" s="22" t="s">
        <v>49</v>
      </c>
      <c r="C33" s="23" t="s">
        <v>50</v>
      </c>
      <c r="D33" s="23" t="s">
        <v>51</v>
      </c>
      <c r="E33" s="24"/>
    </row>
    <row r="34" customFormat="false" ht="15" hidden="false" customHeight="false" outlineLevel="0" collapsed="false">
      <c r="B34" s="8" t="s">
        <v>52</v>
      </c>
      <c r="C34" s="25" t="n">
        <v>3</v>
      </c>
      <c r="D34" s="26" t="n">
        <f aca="false">C34*C7</f>
        <v>750</v>
      </c>
      <c r="E34" s="9" t="s">
        <v>53</v>
      </c>
    </row>
    <row r="35" customFormat="false" ht="15" hidden="false" customHeight="false" outlineLevel="0" collapsed="false">
      <c r="B35" s="5" t="s">
        <v>54</v>
      </c>
      <c r="C35" s="27" t="n">
        <v>2</v>
      </c>
      <c r="D35" s="28" t="n">
        <f aca="false">C35*C7</f>
        <v>500</v>
      </c>
      <c r="E35" s="7" t="s">
        <v>55</v>
      </c>
    </row>
    <row r="36" customFormat="false" ht="15" hidden="false" customHeight="false" outlineLevel="0" collapsed="false">
      <c r="B36" s="8" t="s">
        <v>56</v>
      </c>
      <c r="C36" s="25" t="n">
        <v>2</v>
      </c>
      <c r="D36" s="26" t="n">
        <f aca="false">C36*C7</f>
        <v>500</v>
      </c>
      <c r="E36" s="9" t="s">
        <v>57</v>
      </c>
    </row>
    <row r="37" customFormat="false" ht="15" hidden="false" customHeight="false" outlineLevel="0" collapsed="false">
      <c r="B37" s="5" t="s">
        <v>58</v>
      </c>
      <c r="C37" s="27" t="n">
        <v>2</v>
      </c>
      <c r="D37" s="28" t="n">
        <f aca="false">C37*C7</f>
        <v>500</v>
      </c>
      <c r="E37" s="7" t="s">
        <v>59</v>
      </c>
    </row>
    <row r="38" customFormat="false" ht="15" hidden="false" customHeight="false" outlineLevel="0" collapsed="false">
      <c r="B38" s="8" t="s">
        <v>60</v>
      </c>
      <c r="C38" s="25" t="n">
        <v>2</v>
      </c>
      <c r="D38" s="26" t="n">
        <f aca="false">C38*C7</f>
        <v>500</v>
      </c>
      <c r="E38" s="9" t="s">
        <v>61</v>
      </c>
    </row>
    <row r="40" customFormat="false" ht="15" hidden="false" customHeight="false" outlineLevel="0" collapsed="false">
      <c r="B40" s="29" t="s">
        <v>62</v>
      </c>
      <c r="C40" s="4"/>
      <c r="D40" s="4"/>
      <c r="E40" s="4"/>
    </row>
    <row r="41" customFormat="false" ht="15" hidden="false" customHeight="false" outlineLevel="0" collapsed="false">
      <c r="B41" s="30" t="s">
        <v>63</v>
      </c>
      <c r="C41" s="31" t="n">
        <f aca="false">D31</f>
        <v>11750</v>
      </c>
      <c r="D41" s="32"/>
      <c r="E41" s="32"/>
    </row>
    <row r="42" customFormat="false" ht="15" hidden="false" customHeight="false" outlineLevel="0" collapsed="false">
      <c r="B42" s="30" t="s">
        <v>64</v>
      </c>
      <c r="C42" s="31" t="n">
        <f aca="false">SUM(D34:D38)</f>
        <v>2750</v>
      </c>
      <c r="D42" s="32"/>
      <c r="E42" s="32"/>
    </row>
    <row r="43" customFormat="false" ht="15" hidden="false" customHeight="false" outlineLevel="0" collapsed="false">
      <c r="B43" s="30" t="s">
        <v>65</v>
      </c>
      <c r="C43" s="31" t="n">
        <f aca="false">C9*0.5</f>
        <v>400</v>
      </c>
      <c r="D43" s="32"/>
      <c r="E43" s="32"/>
    </row>
    <row r="44" customFormat="false" ht="15" hidden="false" customHeight="false" outlineLevel="0" collapsed="false">
      <c r="B44" s="30" t="s">
        <v>66</v>
      </c>
      <c r="C44" s="31" t="n">
        <f aca="false">C10</f>
        <v>150</v>
      </c>
      <c r="D44" s="32"/>
      <c r="E44" s="32"/>
    </row>
    <row r="45" customFormat="false" ht="16.15" hidden="false" customHeight="false" outlineLevel="0" collapsed="false">
      <c r="B45" s="33" t="s">
        <v>67</v>
      </c>
      <c r="C45" s="34" t="n">
        <f aca="false">SUM(C41:C44)</f>
        <v>15050</v>
      </c>
      <c r="D45" s="35"/>
      <c r="E45" s="35"/>
    </row>
    <row r="46" customFormat="false" ht="15" hidden="false" customHeight="false" outlineLevel="0" collapsed="false">
      <c r="B46" s="36"/>
      <c r="C46" s="37"/>
      <c r="D46" s="38"/>
      <c r="E46" s="38"/>
    </row>
    <row r="47" customFormat="false" ht="15" hidden="false" customHeight="false" outlineLevel="0" collapsed="false">
      <c r="B47" s="39" t="s">
        <v>68</v>
      </c>
      <c r="C47" s="40" t="n">
        <f aca="false">C11</f>
        <v>149</v>
      </c>
      <c r="D47" s="41"/>
      <c r="E47" s="41"/>
    </row>
    <row r="48" customFormat="false" ht="15" hidden="false" customHeight="false" outlineLevel="0" collapsed="false">
      <c r="B48" s="36"/>
      <c r="C48" s="37"/>
      <c r="D48" s="38"/>
      <c r="E48" s="38"/>
    </row>
    <row r="49" customFormat="false" ht="16.15" hidden="false" customHeight="false" outlineLevel="0" collapsed="false">
      <c r="B49" s="33" t="s">
        <v>69</v>
      </c>
      <c r="C49" s="34" t="n">
        <f aca="false">C45-C47</f>
        <v>14901</v>
      </c>
      <c r="D49" s="35"/>
      <c r="E49" s="35"/>
    </row>
    <row r="50" customFormat="false" ht="16.15" hidden="false" customHeight="false" outlineLevel="0" collapsed="false">
      <c r="B50" s="33" t="s">
        <v>70</v>
      </c>
      <c r="C50" s="34" t="n">
        <f aca="false">C49*12</f>
        <v>178812</v>
      </c>
      <c r="D50" s="35"/>
      <c r="E50" s="35"/>
    </row>
    <row r="51" customFormat="false" ht="16.15" hidden="false" customHeight="false" outlineLevel="0" collapsed="false">
      <c r="B51" s="33" t="s">
        <v>71</v>
      </c>
      <c r="C51" s="42" t="n">
        <f aca="false">IF(C47=0,0,(C45-C47)/C47)</f>
        <v>100.006711409396</v>
      </c>
      <c r="D51" s="35"/>
      <c r="E51" s="35"/>
    </row>
    <row r="52" customFormat="false" ht="16.15" hidden="false" customHeight="false" outlineLevel="0" collapsed="false">
      <c r="B52" s="33" t="s">
        <v>72</v>
      </c>
      <c r="C52" s="43" t="n">
        <f aca="false">IF(C49&lt;=0,0,ROUND(C47/C49*30,0))</f>
        <v>0</v>
      </c>
      <c r="D52" s="35"/>
      <c r="E52" s="35"/>
    </row>
  </sheetData>
  <mergeCells count="8">
    <mergeCell ref="B2:E2"/>
    <mergeCell ref="B3:E3"/>
    <mergeCell ref="D6:E6"/>
    <mergeCell ref="D7:E7"/>
    <mergeCell ref="D8:E8"/>
    <mergeCell ref="D9:E9"/>
    <mergeCell ref="D10:E10"/>
    <mergeCell ref="D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25"/>
  </cols>
  <sheetData>
    <row r="2" customFormat="false" ht="17.35" hidden="false" customHeight="false" outlineLevel="0" collapsed="false">
      <c r="B2" s="44" t="s">
        <v>73</v>
      </c>
      <c r="C2" s="44"/>
      <c r="D2" s="44"/>
      <c r="E2" s="44"/>
    </row>
    <row r="3" customFormat="false" ht="15" hidden="false" customHeight="false" outlineLevel="0" collapsed="false">
      <c r="B3" s="45" t="s">
        <v>74</v>
      </c>
      <c r="C3" s="45"/>
      <c r="D3" s="45"/>
      <c r="E3" s="45"/>
    </row>
    <row r="5" customFormat="false" ht="15" hidden="false" customHeight="false" outlineLevel="0" collapsed="false">
      <c r="B5" s="46" t="s">
        <v>75</v>
      </c>
      <c r="C5" s="46" t="s">
        <v>76</v>
      </c>
      <c r="D5" s="46" t="s">
        <v>77</v>
      </c>
      <c r="E5" s="46" t="s">
        <v>78</v>
      </c>
    </row>
    <row r="6" customFormat="false" ht="15" hidden="false" customHeight="false" outlineLevel="0" collapsed="false">
      <c r="B6" s="5" t="s">
        <v>79</v>
      </c>
      <c r="C6" s="47" t="s">
        <v>80</v>
      </c>
      <c r="D6" s="48" t="s">
        <v>81</v>
      </c>
      <c r="E6" s="49" t="s">
        <v>82</v>
      </c>
    </row>
    <row r="7" customFormat="false" ht="15" hidden="false" customHeight="false" outlineLevel="0" collapsed="false">
      <c r="B7" s="8" t="s">
        <v>83</v>
      </c>
      <c r="C7" s="50" t="s">
        <v>84</v>
      </c>
      <c r="D7" s="51" t="s">
        <v>85</v>
      </c>
      <c r="E7" s="52" t="s">
        <v>86</v>
      </c>
    </row>
    <row r="8" customFormat="false" ht="15" hidden="false" customHeight="false" outlineLevel="0" collapsed="false">
      <c r="B8" s="5" t="s">
        <v>87</v>
      </c>
      <c r="C8" s="47" t="s">
        <v>80</v>
      </c>
      <c r="D8" s="48" t="s">
        <v>88</v>
      </c>
      <c r="E8" s="49" t="s">
        <v>86</v>
      </c>
    </row>
    <row r="9" customFormat="false" ht="15" hidden="false" customHeight="false" outlineLevel="0" collapsed="false">
      <c r="B9" s="8" t="s">
        <v>89</v>
      </c>
      <c r="C9" s="50" t="s">
        <v>84</v>
      </c>
      <c r="D9" s="51" t="s">
        <v>90</v>
      </c>
      <c r="E9" s="52" t="s">
        <v>91</v>
      </c>
    </row>
    <row r="10" customFormat="false" ht="15" hidden="false" customHeight="false" outlineLevel="0" collapsed="false">
      <c r="B10" s="5" t="s">
        <v>92</v>
      </c>
      <c r="C10" s="47" t="s">
        <v>90</v>
      </c>
      <c r="D10" s="48" t="s">
        <v>93</v>
      </c>
      <c r="E10" s="49" t="s">
        <v>94</v>
      </c>
    </row>
    <row r="11" customFormat="false" ht="15" hidden="false" customHeight="false" outlineLevel="0" collapsed="false">
      <c r="B11" s="8" t="s">
        <v>95</v>
      </c>
      <c r="C11" s="50" t="s">
        <v>80</v>
      </c>
      <c r="D11" s="51" t="s">
        <v>96</v>
      </c>
      <c r="E11" s="52" t="s">
        <v>97</v>
      </c>
    </row>
    <row r="12" customFormat="false" ht="15" hidden="false" customHeight="false" outlineLevel="0" collapsed="false">
      <c r="B12" s="5" t="s">
        <v>98</v>
      </c>
      <c r="C12" s="47" t="s">
        <v>84</v>
      </c>
      <c r="D12" s="48" t="s">
        <v>81</v>
      </c>
      <c r="E12" s="49" t="s">
        <v>97</v>
      </c>
    </row>
    <row r="13" customFormat="false" ht="15" hidden="false" customHeight="false" outlineLevel="0" collapsed="false">
      <c r="B13" s="8" t="s">
        <v>99</v>
      </c>
      <c r="C13" s="50" t="s">
        <v>80</v>
      </c>
      <c r="D13" s="51" t="s">
        <v>88</v>
      </c>
      <c r="E13" s="52" t="s">
        <v>100</v>
      </c>
    </row>
    <row r="14" customFormat="false" ht="15" hidden="false" customHeight="false" outlineLevel="0" collapsed="false">
      <c r="B14" s="5" t="s">
        <v>101</v>
      </c>
      <c r="C14" s="47" t="s">
        <v>102</v>
      </c>
      <c r="D14" s="48" t="s">
        <v>93</v>
      </c>
      <c r="E14" s="49" t="s">
        <v>86</v>
      </c>
    </row>
    <row r="15" customFormat="false" ht="15" hidden="false" customHeight="false" outlineLevel="0" collapsed="false">
      <c r="B15" s="8" t="s">
        <v>103</v>
      </c>
      <c r="C15" s="50" t="s">
        <v>81</v>
      </c>
      <c r="D15" s="51" t="s">
        <v>104</v>
      </c>
      <c r="E15" s="52" t="s">
        <v>105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B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6"/>
  </cols>
  <sheetData>
    <row r="2" customFormat="false" ht="17.35" hidden="false" customHeight="false" outlineLevel="0" collapsed="false">
      <c r="B2" s="53" t="s">
        <v>106</v>
      </c>
      <c r="C2" s="53"/>
      <c r="D2" s="53"/>
      <c r="E2" s="53"/>
    </row>
    <row r="4" customFormat="false" ht="15" hidden="false" customHeight="false" outlineLevel="0" collapsed="false">
      <c r="B4" s="46" t="s">
        <v>107</v>
      </c>
      <c r="C4" s="46" t="s">
        <v>108</v>
      </c>
      <c r="D4" s="46" t="s">
        <v>109</v>
      </c>
      <c r="E4" s="46" t="s">
        <v>110</v>
      </c>
    </row>
    <row r="5" customFormat="false" ht="15" hidden="false" customHeight="false" outlineLevel="0" collapsed="false">
      <c r="B5" s="12" t="s">
        <v>111</v>
      </c>
      <c r="C5" s="13"/>
      <c r="D5" s="13"/>
      <c r="E5" s="13"/>
    </row>
    <row r="6" customFormat="false" ht="15" hidden="false" customHeight="false" outlineLevel="0" collapsed="false">
      <c r="B6" s="8" t="s">
        <v>112</v>
      </c>
      <c r="C6" s="54" t="s">
        <v>113</v>
      </c>
      <c r="D6" s="50" t="s">
        <v>114</v>
      </c>
      <c r="E6" s="25" t="s">
        <v>115</v>
      </c>
    </row>
    <row r="7" customFormat="false" ht="15" hidden="false" customHeight="false" outlineLevel="0" collapsed="false">
      <c r="B7" s="5" t="s">
        <v>116</v>
      </c>
      <c r="C7" s="55" t="s">
        <v>117</v>
      </c>
      <c r="D7" s="47" t="s">
        <v>118</v>
      </c>
      <c r="E7" s="27" t="s">
        <v>119</v>
      </c>
    </row>
    <row r="8" customFormat="false" ht="15" hidden="false" customHeight="false" outlineLevel="0" collapsed="false">
      <c r="B8" s="8" t="s">
        <v>120</v>
      </c>
      <c r="C8" s="54" t="s">
        <v>121</v>
      </c>
      <c r="D8" s="50" t="s">
        <v>122</v>
      </c>
      <c r="E8" s="25" t="s">
        <v>115</v>
      </c>
    </row>
    <row r="9" customFormat="false" ht="15" hidden="false" customHeight="false" outlineLevel="0" collapsed="false">
      <c r="B9" s="12" t="s">
        <v>123</v>
      </c>
      <c r="C9" s="13"/>
      <c r="D9" s="13"/>
      <c r="E9" s="13"/>
    </row>
    <row r="10" customFormat="false" ht="15" hidden="false" customHeight="false" outlineLevel="0" collapsed="false">
      <c r="B10" s="8" t="s">
        <v>124</v>
      </c>
      <c r="C10" s="54" t="s">
        <v>125</v>
      </c>
      <c r="D10" s="50" t="s">
        <v>118</v>
      </c>
      <c r="E10" s="25" t="s">
        <v>114</v>
      </c>
    </row>
    <row r="11" customFormat="false" ht="15" hidden="false" customHeight="false" outlineLevel="0" collapsed="false">
      <c r="B11" s="5" t="s">
        <v>126</v>
      </c>
      <c r="C11" s="55" t="s">
        <v>113</v>
      </c>
      <c r="D11" s="47" t="s">
        <v>114</v>
      </c>
      <c r="E11" s="27" t="s">
        <v>114</v>
      </c>
    </row>
    <row r="12" customFormat="false" ht="15" hidden="false" customHeight="false" outlineLevel="0" collapsed="false">
      <c r="B12" s="8" t="s">
        <v>127</v>
      </c>
      <c r="C12" s="54" t="s">
        <v>128</v>
      </c>
      <c r="D12" s="50" t="s">
        <v>118</v>
      </c>
      <c r="E12" s="25" t="s">
        <v>114</v>
      </c>
    </row>
    <row r="13" customFormat="false" ht="15" hidden="false" customHeight="false" outlineLevel="0" collapsed="false">
      <c r="B13" s="12" t="s">
        <v>129</v>
      </c>
      <c r="C13" s="13"/>
      <c r="D13" s="13"/>
      <c r="E13" s="13"/>
    </row>
    <row r="14" customFormat="false" ht="15" hidden="false" customHeight="false" outlineLevel="0" collapsed="false">
      <c r="B14" s="8" t="s">
        <v>130</v>
      </c>
      <c r="C14" s="54" t="s">
        <v>131</v>
      </c>
      <c r="D14" s="50" t="s">
        <v>118</v>
      </c>
      <c r="E14" s="25" t="s">
        <v>114</v>
      </c>
    </row>
    <row r="15" customFormat="false" ht="15" hidden="false" customHeight="false" outlineLevel="0" collapsed="false">
      <c r="B15" s="5" t="s">
        <v>132</v>
      </c>
      <c r="C15" s="55" t="s">
        <v>113</v>
      </c>
      <c r="D15" s="47" t="s">
        <v>114</v>
      </c>
      <c r="E15" s="27" t="s">
        <v>114</v>
      </c>
    </row>
    <row r="16" customFormat="false" ht="15" hidden="false" customHeight="false" outlineLevel="0" collapsed="false">
      <c r="B16" s="8" t="s">
        <v>133</v>
      </c>
      <c r="C16" s="54" t="s">
        <v>113</v>
      </c>
      <c r="D16" s="50" t="s">
        <v>114</v>
      </c>
      <c r="E16" s="25" t="s">
        <v>115</v>
      </c>
    </row>
    <row r="17" customFormat="false" ht="15" hidden="false" customHeight="false" outlineLevel="0" collapsed="false">
      <c r="B17" s="12" t="s">
        <v>134</v>
      </c>
      <c r="C17" s="13"/>
      <c r="D17" s="13"/>
      <c r="E17" s="13"/>
    </row>
    <row r="18" customFormat="false" ht="15" hidden="false" customHeight="false" outlineLevel="0" collapsed="false">
      <c r="B18" s="8" t="s">
        <v>135</v>
      </c>
      <c r="C18" s="54" t="s">
        <v>113</v>
      </c>
      <c r="D18" s="50" t="s">
        <v>114</v>
      </c>
      <c r="E18" s="25" t="s">
        <v>114</v>
      </c>
    </row>
    <row r="19" customFormat="false" ht="15" hidden="false" customHeight="false" outlineLevel="0" collapsed="false">
      <c r="B19" s="5" t="s">
        <v>136</v>
      </c>
      <c r="C19" s="55" t="s">
        <v>137</v>
      </c>
      <c r="D19" s="47" t="s">
        <v>114</v>
      </c>
      <c r="E19" s="27" t="s">
        <v>115</v>
      </c>
    </row>
    <row r="20" customFormat="false" ht="15" hidden="false" customHeight="false" outlineLevel="0" collapsed="false">
      <c r="B20" s="8" t="s">
        <v>138</v>
      </c>
      <c r="C20" s="54" t="s">
        <v>139</v>
      </c>
      <c r="D20" s="50" t="s">
        <v>140</v>
      </c>
      <c r="E20" s="25" t="s">
        <v>141</v>
      </c>
    </row>
    <row r="21" customFormat="false" ht="15" hidden="false" customHeight="false" outlineLevel="0" collapsed="false">
      <c r="B21" s="12" t="s">
        <v>142</v>
      </c>
      <c r="C21" s="13"/>
      <c r="D21" s="13"/>
      <c r="E21" s="13"/>
    </row>
    <row r="22" customFormat="false" ht="15" hidden="false" customHeight="false" outlineLevel="0" collapsed="false">
      <c r="B22" s="8" t="s">
        <v>143</v>
      </c>
      <c r="C22" s="54" t="s">
        <v>144</v>
      </c>
      <c r="D22" s="50" t="s">
        <v>114</v>
      </c>
      <c r="E22" s="25" t="s">
        <v>145</v>
      </c>
    </row>
    <row r="23" customFormat="false" ht="15" hidden="false" customHeight="false" outlineLevel="0" collapsed="false">
      <c r="B23" s="5" t="s">
        <v>146</v>
      </c>
      <c r="C23" s="55" t="s">
        <v>147</v>
      </c>
      <c r="D23" s="47" t="s">
        <v>118</v>
      </c>
      <c r="E23" s="27" t="s">
        <v>115</v>
      </c>
    </row>
    <row r="24" customFormat="false" ht="15" hidden="false" customHeight="false" outlineLevel="0" collapsed="false">
      <c r="B24" s="8" t="s">
        <v>148</v>
      </c>
      <c r="C24" s="54" t="s">
        <v>149</v>
      </c>
      <c r="D24" s="50" t="s">
        <v>114</v>
      </c>
      <c r="E24" s="25" t="s">
        <v>114</v>
      </c>
    </row>
    <row r="25" customFormat="false" ht="15" hidden="false" customHeight="false" outlineLevel="0" collapsed="false">
      <c r="B25" s="12" t="s">
        <v>150</v>
      </c>
      <c r="C25" s="13"/>
      <c r="D25" s="13"/>
      <c r="E25" s="13"/>
    </row>
    <row r="26" customFormat="false" ht="15" hidden="false" customHeight="false" outlineLevel="0" collapsed="false">
      <c r="B26" s="8" t="s">
        <v>151</v>
      </c>
      <c r="C26" s="54" t="s">
        <v>149</v>
      </c>
      <c r="D26" s="50" t="s">
        <v>118</v>
      </c>
      <c r="E26" s="25" t="s">
        <v>141</v>
      </c>
    </row>
    <row r="27" customFormat="false" ht="15" hidden="false" customHeight="false" outlineLevel="0" collapsed="false">
      <c r="B27" s="5" t="s">
        <v>152</v>
      </c>
      <c r="C27" s="55" t="s">
        <v>153</v>
      </c>
      <c r="D27" s="47" t="s">
        <v>118</v>
      </c>
      <c r="E27" s="27" t="s">
        <v>114</v>
      </c>
    </row>
    <row r="28" customFormat="false" ht="15" hidden="false" customHeight="false" outlineLevel="0" collapsed="false">
      <c r="B28" s="8" t="s">
        <v>154</v>
      </c>
      <c r="C28" s="54" t="s">
        <v>155</v>
      </c>
      <c r="D28" s="50" t="s">
        <v>118</v>
      </c>
      <c r="E28" s="25" t="s">
        <v>141</v>
      </c>
    </row>
    <row r="29" customFormat="false" ht="15" hidden="false" customHeight="false" outlineLevel="0" collapsed="false">
      <c r="B29" s="5" t="s">
        <v>156</v>
      </c>
      <c r="C29" s="55" t="s">
        <v>157</v>
      </c>
      <c r="D29" s="47" t="s">
        <v>158</v>
      </c>
      <c r="E29" s="27" t="s">
        <v>159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2026-05-01T22:54:09Z</dcterms:created>
  <dc:creator>openpyxl</dc:creator>
  <dc:description/>
  <dc:language>en-US</dc:language>
  <cp:lastModifiedBy/>
  <dcterms:modified xsi:type="dcterms:W3CDTF">2026-05-01T22:54:09Z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